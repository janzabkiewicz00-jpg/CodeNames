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names_results.csv" sheetId="1" r:id="rId5"/>
    <sheet state="visible" name="Large,Large" sheetId="2" r:id="rId6"/>
  </sheets>
  <definedNames/>
  <calcPr/>
</workbook>
</file>

<file path=xl/sharedStrings.xml><?xml version="1.0" encoding="utf-8"?>
<sst xmlns="http://schemas.openxmlformats.org/spreadsheetml/2006/main" count="127" uniqueCount="17">
  <si>
    <t>play_set</t>
  </si>
  <si>
    <t>general_set</t>
  </si>
  <si>
    <t>metric</t>
  </si>
  <si>
    <t>normalized</t>
  </si>
  <si>
    <t>embeddings</t>
  </si>
  <si>
    <t>mean</t>
  </si>
  <si>
    <t>StdDev</t>
  </si>
  <si>
    <t>Skew</t>
  </si>
  <si>
    <t>Kurt</t>
  </si>
  <si>
    <t>small</t>
  </si>
  <si>
    <t>cosine</t>
  </si>
  <si>
    <t>real</t>
  </si>
  <si>
    <t>large</t>
  </si>
  <si>
    <t>euclidean</t>
  </si>
  <si>
    <t>random</t>
  </si>
  <si>
    <t>RANDOM VS REAL- DIFF</t>
  </si>
  <si>
    <t>dot product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</si>
</sst>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25.0"/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</fills>
  <borders count="25">
    <border/>
    <border>
      <left style="thick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3" fontId="1" numFmtId="0" xfId="0" applyAlignment="1" applyBorder="1" applyFill="1" applyFont="1">
      <alignment horizontal="center" readingOrder="0"/>
    </xf>
    <xf borderId="5" fillId="3" fontId="1" numFmtId="0" xfId="0" applyAlignment="1" applyBorder="1" applyFill="1" applyFont="1">
      <alignment horizontal="center" readingOrder="0"/>
    </xf>
    <xf borderId="5" fillId="3" fontId="1" numFmtId="0" xfId="0" applyAlignment="1" applyBorder="1" applyFill="1" applyFont="1">
      <alignment horizontal="center"/>
    </xf>
    <xf borderId="6" fillId="3" fontId="1" numFmtId="0" xfId="0" applyAlignment="1" applyBorder="1" applyFill="1" applyFont="1">
      <alignment horizontal="center"/>
    </xf>
    <xf borderId="4" fillId="4" fontId="1" numFmtId="0" xfId="0" applyAlignment="1" applyBorder="1" applyFill="1" applyFont="1">
      <alignment horizontal="center" readingOrder="0"/>
    </xf>
    <xf borderId="5" fillId="4" fontId="1" numFmtId="0" xfId="0" applyAlignment="1" applyBorder="1" applyFill="1" applyFont="1">
      <alignment horizontal="center" readingOrder="0"/>
    </xf>
    <xf borderId="5" fillId="4" fontId="1" numFmtId="0" xfId="0" applyAlignment="1" applyBorder="1" applyFill="1" applyFont="1">
      <alignment horizontal="center"/>
    </xf>
    <xf borderId="6" fillId="4" fontId="1" numFmtId="0" xfId="0" applyAlignment="1" applyBorder="1" applyFill="1" applyFont="1">
      <alignment horizontal="center"/>
    </xf>
    <xf borderId="4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5" fillId="2" fontId="1" numFmtId="0" xfId="0" applyAlignment="1" applyBorder="1" applyFill="1" applyFont="1">
      <alignment horizontal="center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8" fillId="2" fontId="1" numFmtId="0" xfId="0" applyAlignment="1" applyBorder="1" applyFill="1" applyFont="1">
      <alignment horizontal="center"/>
    </xf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0" fillId="2" fontId="1" numFmtId="0" xfId="0" applyAlignment="1" applyFill="1" applyFont="1">
      <alignment horizontal="center"/>
    </xf>
    <xf borderId="10" fillId="2" fontId="2" numFmtId="0" xfId="0" applyAlignment="1" applyBorder="1" applyFill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4" fontId="1" numFmtId="0" xfId="0" applyAlignment="1" applyBorder="1" applyFill="1" applyFont="1">
      <alignment horizontal="center" readingOrder="0"/>
    </xf>
    <xf borderId="17" fillId="4" fontId="1" numFmtId="0" xfId="0" applyAlignment="1" applyBorder="1" applyFill="1" applyFont="1">
      <alignment horizontal="center" readingOrder="0"/>
    </xf>
    <xf borderId="18" fillId="4" fontId="1" numFmtId="0" xfId="0" applyAlignment="1" applyBorder="1" applyFill="1" applyFont="1">
      <alignment horizontal="center" readingOrder="0"/>
    </xf>
    <xf borderId="19" fillId="0" fontId="1" numFmtId="0" xfId="0" applyAlignment="1" applyBorder="1" applyFont="1">
      <alignment horizontal="center" readingOrder="0"/>
    </xf>
    <xf borderId="20" fillId="0" fontId="1" numFmtId="0" xfId="0" applyAlignment="1" applyBorder="1" applyFont="1">
      <alignment horizontal="center" readingOrder="0"/>
    </xf>
    <xf borderId="17" fillId="2" fontId="1" numFmtId="0" xfId="0" applyAlignment="1" applyBorder="1" applyFill="1" applyFont="1">
      <alignment horizontal="center" readingOrder="0"/>
    </xf>
    <xf borderId="18" fillId="2" fontId="1" numFmtId="0" xfId="0" applyAlignment="1" applyBorder="1" applyFill="1" applyFont="1">
      <alignment horizontal="center" readingOrder="0"/>
    </xf>
    <xf borderId="19" fillId="4" fontId="1" numFmtId="0" xfId="0" applyAlignment="1" applyBorder="1" applyFill="1" applyFont="1">
      <alignment horizontal="center" readingOrder="0"/>
    </xf>
    <xf borderId="20" fillId="4" fontId="1" numFmtId="0" xfId="0" applyAlignment="1" applyBorder="1" applyFill="1" applyFont="1">
      <alignment horizontal="center" readingOrder="0"/>
    </xf>
    <xf borderId="21" fillId="0" fontId="1" numFmtId="0" xfId="0" applyAlignment="1" applyBorder="1" applyFont="1">
      <alignment horizontal="center" readingOrder="0"/>
    </xf>
    <xf borderId="22" fillId="0" fontId="1" numFmtId="0" xfId="0" applyAlignment="1" applyBorder="1" applyFont="1">
      <alignment horizontal="center" readingOrder="0"/>
    </xf>
    <xf borderId="23" fillId="2" fontId="1" numFmtId="0" xfId="0" applyAlignment="1" applyBorder="1" applyFill="1" applyFont="1">
      <alignment horizontal="center" readingOrder="0"/>
    </xf>
    <xf borderId="24" fillId="2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cosine/real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'Large,Large'!$E$4:$F$4</c:f>
            </c:strRef>
          </c:tx>
          <c:spPr>
            <a:solidFill>
              <a:schemeClr val="accent1"/>
            </a:solidFill>
            <a:ln cmpd="sng">
              <a:noFill/>
            </a:ln>
          </c:spPr>
          <c:val>
            <c:numRef>
              <c:f>'Large,Large'!$G$4:$N$4</c:f>
              <c:numCache/>
            </c:numRef>
          </c:val>
        </c:ser>
        <c:axId val="1802345061"/>
        <c:axId val="17740852"/>
      </c:barChart>
      <c:catAx>
        <c:axId val="1802345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40852"/>
      </c:catAx>
      <c:valAx>
        <c:axId val="177408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cosine/real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23450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dot product/real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'Large,Large'!$E$5:$F$5</c:f>
            </c:strRef>
          </c:tx>
          <c:spPr>
            <a:solidFill>
              <a:schemeClr val="accent1"/>
            </a:solidFill>
            <a:ln cmpd="sng">
              <a:noFill/>
            </a:ln>
          </c:spPr>
          <c:val>
            <c:numRef>
              <c:f>'Large,Large'!$G$5:$N$5</c:f>
              <c:numCache/>
            </c:numRef>
          </c:val>
        </c:ser>
        <c:axId val="535859701"/>
        <c:axId val="410744867"/>
      </c:barChart>
      <c:catAx>
        <c:axId val="535859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0744867"/>
      </c:catAx>
      <c:valAx>
        <c:axId val="410744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dot product/real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58597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euclidean/real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'Large,Large'!$E$6:$F$6</c:f>
            </c:strRef>
          </c:tx>
          <c:spPr>
            <a:solidFill>
              <a:schemeClr val="accent1"/>
            </a:solidFill>
            <a:ln cmpd="sng">
              <a:noFill/>
            </a:ln>
          </c:spPr>
          <c:val>
            <c:numRef>
              <c:f>'Large,Large'!$G$6:$N$6</c:f>
              <c:numCache/>
            </c:numRef>
          </c:val>
        </c:ser>
        <c:axId val="131671582"/>
        <c:axId val="82123704"/>
      </c:barChart>
      <c:catAx>
        <c:axId val="1316715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123704"/>
      </c:catAx>
      <c:valAx>
        <c:axId val="82123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euclidean/real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6715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cosine/random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'Large,Large'!$E$8:$F$8</c:f>
            </c:strRef>
          </c:tx>
          <c:spPr>
            <a:solidFill>
              <a:schemeClr val="accent1"/>
            </a:solidFill>
            <a:ln cmpd="sng">
              <a:noFill/>
            </a:ln>
          </c:spPr>
          <c:val>
            <c:numRef>
              <c:f>'Large,Large'!$G$8:$N$8</c:f>
              <c:numCache/>
            </c:numRef>
          </c:val>
        </c:ser>
        <c:axId val="825472564"/>
        <c:axId val="889768675"/>
      </c:barChart>
      <c:catAx>
        <c:axId val="8254725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9768675"/>
      </c:catAx>
      <c:valAx>
        <c:axId val="8897686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cosine/random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54725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dot product/random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'Large,Large'!$E$9:$F$9</c:f>
            </c:strRef>
          </c:tx>
          <c:spPr>
            <a:solidFill>
              <a:schemeClr val="accent1"/>
            </a:solidFill>
            <a:ln cmpd="sng">
              <a:noFill/>
            </a:ln>
          </c:spPr>
          <c:val>
            <c:numRef>
              <c:f>'Large,Large'!$G$9:$N$9</c:f>
              <c:numCache/>
            </c:numRef>
          </c:val>
        </c:ser>
        <c:axId val="569564337"/>
        <c:axId val="796898602"/>
      </c:barChart>
      <c:catAx>
        <c:axId val="5695643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6898602"/>
      </c:catAx>
      <c:valAx>
        <c:axId val="7968986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dot product/random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95643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euclidean/random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'Large,Large'!$E$10:$F$10</c:f>
            </c:strRef>
          </c:tx>
          <c:spPr>
            <a:solidFill>
              <a:schemeClr val="accent1"/>
            </a:solidFill>
            <a:ln cmpd="sng">
              <a:noFill/>
            </a:ln>
          </c:spPr>
          <c:val>
            <c:numRef>
              <c:f>'Large,Large'!$G$10:$N$10</c:f>
              <c:numCache/>
            </c:numRef>
          </c:val>
        </c:ser>
        <c:axId val="383432584"/>
        <c:axId val="1885832066"/>
      </c:barChart>
      <c:catAx>
        <c:axId val="383432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5832066"/>
      </c:catAx>
      <c:valAx>
        <c:axId val="18858320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euclidean/random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34325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10</xdr:row>
      <xdr:rowOff>123825</xdr:rowOff>
    </xdr:from>
    <xdr:ext cx="4029075" cy="2495550"/>
    <xdr:graphicFrame>
      <xdr:nvGraphicFramePr>
        <xdr:cNvPr id="1" name="Chart 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819150</xdr:colOff>
      <xdr:row>10</xdr:row>
      <xdr:rowOff>123825</xdr:rowOff>
    </xdr:from>
    <xdr:ext cx="4029075" cy="2495550"/>
    <xdr:graphicFrame>
      <xdr:nvGraphicFramePr>
        <xdr:cNvPr id="2" name="Chart 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714375</xdr:colOff>
      <xdr:row>10</xdr:row>
      <xdr:rowOff>123825</xdr:rowOff>
    </xdr:from>
    <xdr:ext cx="4029075" cy="2495550"/>
    <xdr:graphicFrame>
      <xdr:nvGraphicFramePr>
        <xdr:cNvPr id="3" name="Chart 3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76200</xdr:colOff>
      <xdr:row>23</xdr:row>
      <xdr:rowOff>152400</xdr:rowOff>
    </xdr:from>
    <xdr:ext cx="4029075" cy="2495550"/>
    <xdr:graphicFrame>
      <xdr:nvGraphicFramePr>
        <xdr:cNvPr id="4" name="Chart 4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819150</xdr:colOff>
      <xdr:row>23</xdr:row>
      <xdr:rowOff>152400</xdr:rowOff>
    </xdr:from>
    <xdr:ext cx="4029075" cy="2495550"/>
    <xdr:graphicFrame>
      <xdr:nvGraphicFramePr>
        <xdr:cNvPr id="5" name="Chart 5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13</xdr:col>
      <xdr:colOff>714375</xdr:colOff>
      <xdr:row>23</xdr:row>
      <xdr:rowOff>152400</xdr:rowOff>
    </xdr:from>
    <xdr:ext cx="4029075" cy="2495550"/>
    <xdr:graphicFrame>
      <xdr:nvGraphicFramePr>
        <xdr:cNvPr id="6" name="Chart 6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1"/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>
        <v>1.0</v>
      </c>
      <c r="H2" s="4">
        <v>2.0</v>
      </c>
      <c r="I2" s="4">
        <v>3.0</v>
      </c>
      <c r="J2" s="4">
        <v>4.0</v>
      </c>
      <c r="K2" s="4">
        <v>5.0</v>
      </c>
      <c r="L2" s="4">
        <v>6.0</v>
      </c>
      <c r="M2" s="4">
        <v>7.0</v>
      </c>
      <c r="N2" s="4">
        <v>8.0</v>
      </c>
      <c r="O2" s="4" t="s">
        <v>5</v>
      </c>
      <c r="P2" s="5" t="s">
        <v>6</v>
      </c>
      <c r="Q2" s="4" t="s">
        <v>7</v>
      </c>
      <c r="R2" s="6" t="s">
        <v>8</v>
      </c>
    </row>
    <row r="3">
      <c r="A3" s="1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  <c r="P3" s="9"/>
      <c r="Q3" s="9"/>
      <c r="R3" s="10"/>
    </row>
    <row r="4">
      <c r="A4" s="1"/>
      <c r="B4" s="11" t="s">
        <v>9</v>
      </c>
      <c r="C4" s="12" t="s">
        <v>9</v>
      </c>
      <c r="D4" s="12" t="s">
        <v>10</v>
      </c>
      <c r="E4" s="12" t="b">
        <v>1</v>
      </c>
      <c r="F4" s="12" t="s">
        <v>11</v>
      </c>
      <c r="G4" s="12">
        <v>43.0</v>
      </c>
      <c r="H4" s="12">
        <v>2384.0</v>
      </c>
      <c r="I4" s="12">
        <v>4256.0</v>
      </c>
      <c r="J4" s="12">
        <v>2321.0</v>
      </c>
      <c r="K4" s="12">
        <v>806.0</v>
      </c>
      <c r="L4" s="12">
        <v>172.0</v>
      </c>
      <c r="M4" s="12">
        <v>18.0</v>
      </c>
      <c r="N4" s="12">
        <v>0.0</v>
      </c>
      <c r="O4" s="13">
        <f>IFERROR(__xludf.DUMMYFUNCTION("AVERAGE.WEIGHTED($G$2:$N$2,G4:N4)"),3.2051)</f>
        <v>3.2051</v>
      </c>
      <c r="P4" s="13">
        <f t="shared" ref="P4:P12" si="1">SQRT(SUMPRODUCT(G4:N4,({1,2,3,4,5,6,7,8}-O4)^2)/SUM(G4:N4))</f>
        <v>0.9755172935</v>
      </c>
      <c r="Q4" s="13">
        <f t="shared" ref="Q4:Q12" si="2">SUMPRODUCT(G4:N4,({1,2,3,4,5,6,7,8}-O4)^3)/SUM(G4:N4)/P4^3</f>
        <v>0.6350418805</v>
      </c>
      <c r="R4" s="14">
        <f t="shared" ref="R4:R12" si="3">SUMPRODUCT(G4:N4,({1,2,3,4,5,6,7,8}-O4)^4)/SUM(G4:N4)/P4^4-3</f>
        <v>0.2655324195</v>
      </c>
    </row>
    <row r="5">
      <c r="A5" s="1"/>
      <c r="B5" s="15" t="s">
        <v>12</v>
      </c>
      <c r="C5" s="16" t="s">
        <v>12</v>
      </c>
      <c r="D5" s="16" t="s">
        <v>10</v>
      </c>
      <c r="E5" s="16" t="b">
        <v>1</v>
      </c>
      <c r="F5" s="16" t="s">
        <v>11</v>
      </c>
      <c r="G5" s="16">
        <v>0.0</v>
      </c>
      <c r="H5" s="16">
        <v>367.0</v>
      </c>
      <c r="I5" s="16">
        <v>3149.0</v>
      </c>
      <c r="J5" s="16">
        <v>3739.0</v>
      </c>
      <c r="K5" s="16">
        <v>2034.0</v>
      </c>
      <c r="L5" s="16">
        <v>595.0</v>
      </c>
      <c r="M5" s="16">
        <v>109.0</v>
      </c>
      <c r="N5" s="16">
        <v>7.0</v>
      </c>
      <c r="O5" s="17">
        <f>IFERROR(__xludf.DUMMYFUNCTION("AVERAGE.WEIGHTED($G$2:$N$2,G5:N5)"),3.9696)</f>
        <v>3.9696</v>
      </c>
      <c r="P5" s="17">
        <f t="shared" si="1"/>
        <v>1.005721552</v>
      </c>
      <c r="Q5" s="18">
        <f t="shared" si="2"/>
        <v>0.4937510414</v>
      </c>
      <c r="R5" s="19">
        <f t="shared" si="3"/>
        <v>0.103429528</v>
      </c>
    </row>
    <row r="6">
      <c r="A6" s="1"/>
      <c r="B6" s="15" t="s">
        <v>9</v>
      </c>
      <c r="C6" s="16" t="s">
        <v>12</v>
      </c>
      <c r="D6" s="16" t="s">
        <v>10</v>
      </c>
      <c r="E6" s="16" t="b">
        <v>1</v>
      </c>
      <c r="F6" s="16" t="s">
        <v>11</v>
      </c>
      <c r="G6" s="16">
        <v>0.0</v>
      </c>
      <c r="H6" s="16">
        <v>511.0</v>
      </c>
      <c r="I6" s="16">
        <v>3440.0</v>
      </c>
      <c r="J6" s="16">
        <v>3636.0</v>
      </c>
      <c r="K6" s="16">
        <v>1750.0</v>
      </c>
      <c r="L6" s="16">
        <v>542.0</v>
      </c>
      <c r="M6" s="16">
        <v>111.0</v>
      </c>
      <c r="N6" s="16">
        <v>10.0</v>
      </c>
      <c r="O6" s="17">
        <f>IFERROR(__xludf.DUMMYFUNCTION("AVERAGE.WEIGHTED($G$2:$N$2,G6:N6)"),3.8745)</f>
        <v>3.8745</v>
      </c>
      <c r="P6" s="17">
        <f t="shared" si="1"/>
        <v>1.019975367</v>
      </c>
      <c r="Q6" s="18">
        <f t="shared" si="2"/>
        <v>0.5778440822</v>
      </c>
      <c r="R6" s="19">
        <f t="shared" si="3"/>
        <v>0.2967354943</v>
      </c>
    </row>
    <row r="7">
      <c r="A7" s="1"/>
      <c r="B7" s="11" t="s">
        <v>9</v>
      </c>
      <c r="C7" s="12" t="s">
        <v>9</v>
      </c>
      <c r="D7" s="12" t="s">
        <v>10</v>
      </c>
      <c r="E7" s="12" t="b">
        <v>0</v>
      </c>
      <c r="F7" s="12" t="s">
        <v>11</v>
      </c>
      <c r="G7" s="12">
        <v>27.0</v>
      </c>
      <c r="H7" s="12">
        <v>1051.0</v>
      </c>
      <c r="I7" s="12">
        <v>3648.0</v>
      </c>
      <c r="J7" s="12">
        <v>3360.0</v>
      </c>
      <c r="K7" s="12">
        <v>1467.0</v>
      </c>
      <c r="L7" s="12">
        <v>371.0</v>
      </c>
      <c r="M7" s="12">
        <v>70.0</v>
      </c>
      <c r="N7" s="12">
        <v>6.0</v>
      </c>
      <c r="O7" s="13">
        <f>IFERROR(__xludf.DUMMYFUNCTION("AVERAGE.WEIGHTED($G$2:$N$2,G7:N7)"),3.6612)</f>
        <v>3.6612</v>
      </c>
      <c r="P7" s="13">
        <f t="shared" si="1"/>
        <v>1.030734961</v>
      </c>
      <c r="Q7" s="13">
        <f t="shared" si="2"/>
        <v>0.4667541606</v>
      </c>
      <c r="R7" s="14">
        <f t="shared" si="3"/>
        <v>0.2548290269</v>
      </c>
    </row>
    <row r="8">
      <c r="A8" s="1"/>
      <c r="B8" s="15" t="s">
        <v>12</v>
      </c>
      <c r="C8" s="16" t="s">
        <v>12</v>
      </c>
      <c r="D8" s="16" t="s">
        <v>10</v>
      </c>
      <c r="E8" s="16" t="b">
        <v>0</v>
      </c>
      <c r="F8" s="16" t="s">
        <v>11</v>
      </c>
      <c r="G8" s="16">
        <v>7.0</v>
      </c>
      <c r="H8" s="16">
        <v>283.0</v>
      </c>
      <c r="I8" s="16">
        <v>1815.0</v>
      </c>
      <c r="J8" s="16">
        <v>3456.0</v>
      </c>
      <c r="K8" s="16">
        <v>2848.0</v>
      </c>
      <c r="L8" s="16">
        <v>1303.0</v>
      </c>
      <c r="M8" s="16">
        <v>261.0</v>
      </c>
      <c r="N8" s="16">
        <v>27.0</v>
      </c>
      <c r="O8" s="17">
        <f>IFERROR(__xludf.DUMMYFUNCTION("AVERAGE.WEIGHTED($G$2:$N$2,G8:N8)"),4.3943)</f>
        <v>4.3943</v>
      </c>
      <c r="P8" s="17">
        <f t="shared" si="1"/>
        <v>1.108885706</v>
      </c>
      <c r="Q8" s="18">
        <f t="shared" si="2"/>
        <v>0.1922021777</v>
      </c>
      <c r="R8" s="19">
        <f t="shared" si="3"/>
        <v>-0.1683885289</v>
      </c>
    </row>
    <row r="9">
      <c r="A9" s="1"/>
      <c r="B9" s="15" t="s">
        <v>9</v>
      </c>
      <c r="C9" s="16" t="s">
        <v>12</v>
      </c>
      <c r="D9" s="16" t="s">
        <v>10</v>
      </c>
      <c r="E9" s="16" t="b">
        <v>0</v>
      </c>
      <c r="F9" s="16" t="s">
        <v>11</v>
      </c>
      <c r="G9" s="16">
        <v>0.0</v>
      </c>
      <c r="H9" s="16">
        <v>109.0</v>
      </c>
      <c r="I9" s="16">
        <v>1333.0</v>
      </c>
      <c r="J9" s="16">
        <v>3479.0</v>
      </c>
      <c r="K9" s="16">
        <v>3255.0</v>
      </c>
      <c r="L9" s="16">
        <v>1460.0</v>
      </c>
      <c r="M9" s="16">
        <v>331.0</v>
      </c>
      <c r="N9" s="16">
        <v>33.0</v>
      </c>
      <c r="O9" s="17">
        <f>IFERROR(__xludf.DUMMYFUNCTION("AVERAGE.WEIGHTED($G$2:$N$2,G9:N9)"),4.5749)</f>
        <v>4.5749</v>
      </c>
      <c r="P9" s="17">
        <f t="shared" si="1"/>
        <v>1.051945811</v>
      </c>
      <c r="Q9" s="18">
        <f t="shared" si="2"/>
        <v>0.2399798899</v>
      </c>
      <c r="R9" s="19">
        <f t="shared" si="3"/>
        <v>-0.1017507821</v>
      </c>
    </row>
    <row r="10">
      <c r="A10" s="1"/>
      <c r="B10" s="11" t="s">
        <v>9</v>
      </c>
      <c r="C10" s="12" t="s">
        <v>9</v>
      </c>
      <c r="D10" s="12" t="s">
        <v>13</v>
      </c>
      <c r="E10" s="12" t="b">
        <v>0</v>
      </c>
      <c r="F10" s="12" t="s">
        <v>11</v>
      </c>
      <c r="G10" s="12">
        <v>635.0</v>
      </c>
      <c r="H10" s="12">
        <v>4336.0</v>
      </c>
      <c r="I10" s="12">
        <v>3312.0</v>
      </c>
      <c r="J10" s="12">
        <v>1271.0</v>
      </c>
      <c r="K10" s="12">
        <v>351.0</v>
      </c>
      <c r="L10" s="12">
        <v>82.0</v>
      </c>
      <c r="M10" s="12">
        <v>12.0</v>
      </c>
      <c r="N10" s="12">
        <v>1.0</v>
      </c>
      <c r="O10" s="13">
        <f>IFERROR(__xludf.DUMMYFUNCTION("AVERAGE.WEIGHTED($G$2:$N$2,G10:N10)"),2.6666)</f>
        <v>2.6666</v>
      </c>
      <c r="P10" s="13">
        <f t="shared" si="1"/>
        <v>0.9692494209</v>
      </c>
      <c r="Q10" s="13">
        <f t="shared" si="2"/>
        <v>0.827726806</v>
      </c>
      <c r="R10" s="14">
        <f t="shared" si="3"/>
        <v>1.009288125</v>
      </c>
    </row>
    <row r="11">
      <c r="A11" s="1"/>
      <c r="B11" s="15" t="s">
        <v>12</v>
      </c>
      <c r="C11" s="16" t="s">
        <v>12</v>
      </c>
      <c r="D11" s="16" t="s">
        <v>13</v>
      </c>
      <c r="E11" s="16" t="b">
        <v>0</v>
      </c>
      <c r="F11" s="16" t="s">
        <v>11</v>
      </c>
      <c r="G11" s="16">
        <v>46.0</v>
      </c>
      <c r="H11" s="16">
        <v>1844.0</v>
      </c>
      <c r="I11" s="16">
        <v>3915.0</v>
      </c>
      <c r="J11" s="16">
        <v>2846.0</v>
      </c>
      <c r="K11" s="16">
        <v>1050.0</v>
      </c>
      <c r="L11" s="16">
        <v>258.0</v>
      </c>
      <c r="M11" s="16">
        <v>36.0</v>
      </c>
      <c r="N11" s="16">
        <v>5.0</v>
      </c>
      <c r="O11" s="17">
        <f>IFERROR(__xludf.DUMMYFUNCTION("AVERAGE.WEIGHTED($G$2:$N$2,G11:N11)"),3.3953)</f>
        <v>3.3953</v>
      </c>
      <c r="P11" s="17">
        <f t="shared" si="1"/>
        <v>1.026371234</v>
      </c>
      <c r="Q11" s="18">
        <f t="shared" si="2"/>
        <v>0.5381499203</v>
      </c>
      <c r="R11" s="19">
        <f t="shared" si="3"/>
        <v>0.2569812847</v>
      </c>
    </row>
    <row r="12">
      <c r="A12" s="1"/>
      <c r="B12" s="15" t="s">
        <v>9</v>
      </c>
      <c r="C12" s="16" t="s">
        <v>12</v>
      </c>
      <c r="D12" s="16" t="s">
        <v>13</v>
      </c>
      <c r="E12" s="16" t="b">
        <v>0</v>
      </c>
      <c r="F12" s="16" t="s">
        <v>11</v>
      </c>
      <c r="G12" s="16">
        <v>150.0</v>
      </c>
      <c r="H12" s="16">
        <v>2949.0</v>
      </c>
      <c r="I12" s="16">
        <v>3946.0</v>
      </c>
      <c r="J12" s="16">
        <v>2091.0</v>
      </c>
      <c r="K12" s="16">
        <v>693.0</v>
      </c>
      <c r="L12" s="16">
        <v>150.0</v>
      </c>
      <c r="M12" s="16">
        <v>18.0</v>
      </c>
      <c r="N12" s="16">
        <v>3.0</v>
      </c>
      <c r="O12" s="17">
        <f>IFERROR(__xludf.DUMMYFUNCTION("AVERAGE.WEIGHTED($G$2:$N$2,G12:N12)"),3.0765)</f>
        <v>3.0765</v>
      </c>
      <c r="P12" s="17">
        <f t="shared" si="1"/>
        <v>1.003318369</v>
      </c>
      <c r="Q12" s="18">
        <f t="shared" si="2"/>
        <v>0.6681530124</v>
      </c>
      <c r="R12" s="19">
        <f t="shared" si="3"/>
        <v>0.4284869109</v>
      </c>
    </row>
    <row r="13">
      <c r="A13" s="1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/>
      <c r="P13" s="9"/>
      <c r="Q13" s="9"/>
      <c r="R13" s="10"/>
    </row>
    <row r="14">
      <c r="A14" s="1"/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9"/>
      <c r="P14" s="9"/>
      <c r="Q14" s="9"/>
      <c r="R14" s="10"/>
    </row>
    <row r="15">
      <c r="A15" s="1"/>
      <c r="B15" s="11" t="s">
        <v>9</v>
      </c>
      <c r="C15" s="12" t="s">
        <v>9</v>
      </c>
      <c r="D15" s="12" t="s">
        <v>10</v>
      </c>
      <c r="E15" s="12" t="b">
        <v>1</v>
      </c>
      <c r="F15" s="12" t="s">
        <v>14</v>
      </c>
      <c r="G15" s="12">
        <v>0.0</v>
      </c>
      <c r="H15" s="12">
        <v>0.0</v>
      </c>
      <c r="I15" s="12">
        <v>622.0</v>
      </c>
      <c r="J15" s="12">
        <v>5198.0</v>
      </c>
      <c r="K15" s="12">
        <v>3402.0</v>
      </c>
      <c r="L15" s="12">
        <v>696.0</v>
      </c>
      <c r="M15" s="12">
        <v>75.0</v>
      </c>
      <c r="N15" s="12">
        <v>7.0</v>
      </c>
      <c r="O15" s="13">
        <f>IFERROR(__xludf.DUMMYFUNCTION("AVERAGE.WEIGHTED($G$2:$N$2,G15:N15)"),4.4425)</f>
        <v>4.4425</v>
      </c>
      <c r="P15" s="13">
        <f t="shared" ref="P15:P23" si="4">SQRT(SUMPRODUCT(G15:N15,({1,2,3,4,5,6,7,8}-O15)^2)/SUM(G15:N15))</f>
        <v>0.7507954115</v>
      </c>
      <c r="Q15" s="13">
        <f t="shared" ref="Q15:Q23" si="5">SUMPRODUCT(G15:N15,({1,2,3,4,5,6,7,8}-O15)^3)/SUM(G15:N15)/P15^3</f>
        <v>0.5839824477</v>
      </c>
      <c r="R15" s="14">
        <f t="shared" ref="R15:R23" si="6">SUMPRODUCT(G15:N15,({1,2,3,4,5,6,7,8}-O15)^4)/SUM(G15:N15)/P15^4-3</f>
        <v>0.6653012083</v>
      </c>
    </row>
    <row r="16">
      <c r="A16" s="1"/>
      <c r="B16" s="15" t="s">
        <v>12</v>
      </c>
      <c r="C16" s="16" t="s">
        <v>12</v>
      </c>
      <c r="D16" s="16" t="s">
        <v>10</v>
      </c>
      <c r="E16" s="16" t="b">
        <v>1</v>
      </c>
      <c r="F16" s="16" t="s">
        <v>14</v>
      </c>
      <c r="G16" s="16">
        <v>0.0</v>
      </c>
      <c r="H16" s="16">
        <v>0.0</v>
      </c>
      <c r="I16" s="16">
        <v>0.0</v>
      </c>
      <c r="J16" s="16">
        <v>2.0</v>
      </c>
      <c r="K16" s="16">
        <v>2150.0</v>
      </c>
      <c r="L16" s="16">
        <v>6299.0</v>
      </c>
      <c r="M16" s="16">
        <v>1455.0</v>
      </c>
      <c r="N16" s="16">
        <v>94.0</v>
      </c>
      <c r="O16" s="17">
        <f>IFERROR(__xludf.DUMMYFUNCTION("AVERAGE.WEIGHTED($G$2:$N$2,G16:N16)"),5.9489)</f>
        <v>5.9489</v>
      </c>
      <c r="P16" s="17">
        <f t="shared" si="4"/>
        <v>0.6295147258</v>
      </c>
      <c r="Q16" s="18">
        <f t="shared" si="5"/>
        <v>0.2604906441</v>
      </c>
      <c r="R16" s="19">
        <f t="shared" si="6"/>
        <v>0.3185895866</v>
      </c>
    </row>
    <row r="17">
      <c r="A17" s="1"/>
      <c r="B17" s="15" t="s">
        <v>9</v>
      </c>
      <c r="C17" s="16" t="s">
        <v>12</v>
      </c>
      <c r="D17" s="16" t="s">
        <v>10</v>
      </c>
      <c r="E17" s="16" t="b">
        <v>1</v>
      </c>
      <c r="F17" s="16" t="s">
        <v>14</v>
      </c>
      <c r="G17" s="16">
        <v>0.0</v>
      </c>
      <c r="H17" s="16">
        <v>0.0</v>
      </c>
      <c r="I17" s="16">
        <v>0.0</v>
      </c>
      <c r="J17" s="16">
        <v>1.0</v>
      </c>
      <c r="K17" s="16">
        <v>2264.0</v>
      </c>
      <c r="L17" s="16">
        <v>6218.0</v>
      </c>
      <c r="M17" s="16">
        <v>1419.0</v>
      </c>
      <c r="N17" s="16">
        <v>98.0</v>
      </c>
      <c r="O17" s="17">
        <f>IFERROR(__xludf.DUMMYFUNCTION("AVERAGE.WEIGHTED($G$2:$N$2,G17:N17)"),5.9349)</f>
        <v>5.9349</v>
      </c>
      <c r="P17" s="17">
        <f t="shared" si="4"/>
        <v>0.6353439934</v>
      </c>
      <c r="Q17" s="18">
        <f t="shared" si="5"/>
        <v>0.2815639581</v>
      </c>
      <c r="R17" s="19">
        <f t="shared" si="6"/>
        <v>0.2847158599</v>
      </c>
    </row>
    <row r="18">
      <c r="A18" s="1"/>
      <c r="B18" s="11" t="s">
        <v>9</v>
      </c>
      <c r="C18" s="12" t="s">
        <v>9</v>
      </c>
      <c r="D18" s="12" t="s">
        <v>10</v>
      </c>
      <c r="E18" s="12" t="b">
        <v>0</v>
      </c>
      <c r="F18" s="12" t="s">
        <v>14</v>
      </c>
      <c r="G18" s="12">
        <v>0.0</v>
      </c>
      <c r="H18" s="12">
        <v>1.0</v>
      </c>
      <c r="I18" s="12">
        <v>625.0</v>
      </c>
      <c r="J18" s="12">
        <v>5283.0</v>
      </c>
      <c r="K18" s="12">
        <v>3303.0</v>
      </c>
      <c r="L18" s="12">
        <v>706.0</v>
      </c>
      <c r="M18" s="12">
        <v>79.0</v>
      </c>
      <c r="N18" s="12">
        <v>3.0</v>
      </c>
      <c r="O18" s="13">
        <f>IFERROR(__xludf.DUMMYFUNCTION("AVERAGE.WEIGHTED($G$2:$N$2,G18:N18)"),4.4337)</f>
        <v>4.4337</v>
      </c>
      <c r="P18" s="13">
        <f t="shared" si="4"/>
        <v>0.7506026312</v>
      </c>
      <c r="Q18" s="13">
        <f t="shared" si="5"/>
        <v>0.590403943</v>
      </c>
      <c r="R18" s="14">
        <f t="shared" si="6"/>
        <v>0.5798627996</v>
      </c>
    </row>
    <row r="19">
      <c r="A19" s="1"/>
      <c r="B19" s="15" t="s">
        <v>12</v>
      </c>
      <c r="C19" s="16" t="s">
        <v>12</v>
      </c>
      <c r="D19" s="16" t="s">
        <v>10</v>
      </c>
      <c r="E19" s="16" t="b">
        <v>0</v>
      </c>
      <c r="F19" s="16" t="s">
        <v>14</v>
      </c>
      <c r="G19" s="16">
        <v>0.0</v>
      </c>
      <c r="H19" s="16">
        <v>0.0</v>
      </c>
      <c r="I19" s="16">
        <v>0.0</v>
      </c>
      <c r="J19" s="16">
        <v>0.0</v>
      </c>
      <c r="K19" s="16">
        <v>2336.0</v>
      </c>
      <c r="L19" s="16">
        <v>6162.0</v>
      </c>
      <c r="M19" s="16">
        <v>1425.0</v>
      </c>
      <c r="N19" s="16">
        <v>77.0</v>
      </c>
      <c r="O19" s="17">
        <f>IFERROR(__xludf.DUMMYFUNCTION("AVERAGE.WEIGHTED($G$2:$N$2,G19:N19)"),5.9243)</f>
        <v>5.9243</v>
      </c>
      <c r="P19" s="17">
        <f t="shared" si="4"/>
        <v>0.633379436</v>
      </c>
      <c r="Q19" s="18">
        <f t="shared" si="5"/>
        <v>0.2441606479</v>
      </c>
      <c r="R19" s="19">
        <f t="shared" si="6"/>
        <v>0.1332718934</v>
      </c>
    </row>
    <row r="20">
      <c r="A20" s="1"/>
      <c r="B20" s="15" t="s">
        <v>9</v>
      </c>
      <c r="C20" s="16" t="s">
        <v>12</v>
      </c>
      <c r="D20" s="16" t="s">
        <v>10</v>
      </c>
      <c r="E20" s="16" t="b">
        <v>0</v>
      </c>
      <c r="F20" s="16" t="s">
        <v>14</v>
      </c>
      <c r="G20" s="16">
        <v>0.0</v>
      </c>
      <c r="H20" s="16">
        <v>0.0</v>
      </c>
      <c r="I20" s="16">
        <v>0.0</v>
      </c>
      <c r="J20" s="16">
        <v>3.0</v>
      </c>
      <c r="K20" s="16">
        <v>2337.0</v>
      </c>
      <c r="L20" s="16">
        <v>6178.0</v>
      </c>
      <c r="M20" s="16">
        <v>1398.0</v>
      </c>
      <c r="N20" s="16">
        <v>84.0</v>
      </c>
      <c r="O20" s="17">
        <f>IFERROR(__xludf.DUMMYFUNCTION("AVERAGE.WEIGHTED($G$2:$N$2,G20:N20)"),5.9223)</f>
        <v>5.9223</v>
      </c>
      <c r="P20" s="17">
        <f t="shared" si="4"/>
        <v>0.6342418387</v>
      </c>
      <c r="Q20" s="18">
        <f t="shared" si="5"/>
        <v>0.2553053939</v>
      </c>
      <c r="R20" s="19">
        <f t="shared" si="6"/>
        <v>0.2032605404</v>
      </c>
    </row>
    <row r="21">
      <c r="A21" s="1"/>
      <c r="B21" s="11" t="s">
        <v>9</v>
      </c>
      <c r="C21" s="12" t="s">
        <v>9</v>
      </c>
      <c r="D21" s="12" t="s">
        <v>13</v>
      </c>
      <c r="E21" s="12" t="b">
        <v>0</v>
      </c>
      <c r="F21" s="12" t="s">
        <v>14</v>
      </c>
      <c r="G21" s="12">
        <v>9.0</v>
      </c>
      <c r="H21" s="12">
        <v>507.0</v>
      </c>
      <c r="I21" s="12">
        <v>2822.0</v>
      </c>
      <c r="J21" s="12">
        <v>3849.0</v>
      </c>
      <c r="K21" s="12">
        <v>2160.0</v>
      </c>
      <c r="L21" s="12">
        <v>568.0</v>
      </c>
      <c r="M21" s="12">
        <v>83.0</v>
      </c>
      <c r="N21" s="12">
        <v>2.0</v>
      </c>
      <c r="O21" s="13">
        <f>IFERROR(__xludf.DUMMYFUNCTION("AVERAGE.WEIGHTED($G$2:$N$2,G21:N21)"),3.969)</f>
        <v>3.969</v>
      </c>
      <c r="P21" s="13">
        <f t="shared" si="4"/>
        <v>1.006597735</v>
      </c>
      <c r="Q21" s="13">
        <f t="shared" si="5"/>
        <v>0.2838064352</v>
      </c>
      <c r="R21" s="14">
        <f t="shared" si="6"/>
        <v>-0.03439321504</v>
      </c>
    </row>
    <row r="22">
      <c r="A22" s="1"/>
      <c r="B22" s="15" t="s">
        <v>12</v>
      </c>
      <c r="C22" s="16" t="s">
        <v>12</v>
      </c>
      <c r="D22" s="16" t="s">
        <v>13</v>
      </c>
      <c r="E22" s="16" t="b">
        <v>0</v>
      </c>
      <c r="F22" s="16" t="s">
        <v>14</v>
      </c>
      <c r="G22" s="16">
        <v>0.0</v>
      </c>
      <c r="H22" s="16">
        <v>6.0</v>
      </c>
      <c r="I22" s="16">
        <v>245.0</v>
      </c>
      <c r="J22" s="16">
        <v>1918.0</v>
      </c>
      <c r="K22" s="16">
        <v>3988.0</v>
      </c>
      <c r="L22" s="16">
        <v>2953.0</v>
      </c>
      <c r="M22" s="16">
        <v>811.0</v>
      </c>
      <c r="N22" s="16">
        <v>79.0</v>
      </c>
      <c r="O22" s="17">
        <f>IFERROR(__xludf.DUMMYFUNCTION("AVERAGE.WEIGHTED($G$2:$N$2,G22:N22)"),5.2386)</f>
        <v>5.2386</v>
      </c>
      <c r="P22" s="17">
        <f t="shared" si="4"/>
        <v>0.9638827937</v>
      </c>
      <c r="Q22" s="18">
        <f t="shared" si="5"/>
        <v>0.08351418812</v>
      </c>
      <c r="R22" s="19">
        <f t="shared" si="6"/>
        <v>-0.1347169641</v>
      </c>
    </row>
    <row r="23">
      <c r="A23" s="1"/>
      <c r="B23" s="20" t="s">
        <v>9</v>
      </c>
      <c r="C23" s="21" t="s">
        <v>12</v>
      </c>
      <c r="D23" s="21" t="s">
        <v>13</v>
      </c>
      <c r="E23" s="21" t="b">
        <v>0</v>
      </c>
      <c r="F23" s="21" t="s">
        <v>14</v>
      </c>
      <c r="G23" s="21">
        <v>0.0</v>
      </c>
      <c r="H23" s="21">
        <v>5.0</v>
      </c>
      <c r="I23" s="21">
        <v>258.0</v>
      </c>
      <c r="J23" s="21">
        <v>1917.0</v>
      </c>
      <c r="K23" s="21">
        <v>4008.0</v>
      </c>
      <c r="L23" s="21">
        <v>2935.0</v>
      </c>
      <c r="M23" s="21">
        <v>792.0</v>
      </c>
      <c r="N23" s="21">
        <v>85.0</v>
      </c>
      <c r="O23" s="22">
        <f>IFERROR(__xludf.DUMMYFUNCTION("AVERAGE.WEIGHTED($G$2:$N$2,G23:N23)"),5.2326)</f>
        <v>5.2326</v>
      </c>
      <c r="P23" s="22">
        <f t="shared" si="4"/>
        <v>0.965451832</v>
      </c>
      <c r="Q23" s="23">
        <f t="shared" si="5"/>
        <v>0.0911197918</v>
      </c>
      <c r="R23" s="24">
        <f t="shared" si="6"/>
        <v>-0.1082040737</v>
      </c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5"/>
      <c r="O24" s="1"/>
      <c r="P24" s="25"/>
    </row>
    <row r="25">
      <c r="A25" s="1"/>
      <c r="B25" s="1"/>
      <c r="F25" s="1"/>
      <c r="G25" s="1"/>
      <c r="H25" s="1"/>
      <c r="I25" s="1"/>
      <c r="J25" s="1"/>
      <c r="K25" s="1"/>
      <c r="L25" s="1"/>
      <c r="M25" s="1"/>
      <c r="N25" s="25"/>
      <c r="O25" s="1"/>
      <c r="P25" s="25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>
      <c r="B35" s="26" t="s">
        <v>15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8"/>
    </row>
    <row r="36">
      <c r="B36" s="29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1"/>
    </row>
    <row r="37">
      <c r="B37" s="32" t="s">
        <v>9</v>
      </c>
      <c r="C37" s="33" t="s">
        <v>9</v>
      </c>
      <c r="D37" s="33" t="s">
        <v>10</v>
      </c>
      <c r="E37" s="33" t="b">
        <v>1</v>
      </c>
      <c r="F37" s="33">
        <f t="shared" ref="F37:N37" si="7">G4-G15</f>
        <v>43</v>
      </c>
      <c r="G37" s="33">
        <f t="shared" si="7"/>
        <v>2384</v>
      </c>
      <c r="H37" s="33">
        <f t="shared" si="7"/>
        <v>3634</v>
      </c>
      <c r="I37" s="33">
        <f t="shared" si="7"/>
        <v>-2877</v>
      </c>
      <c r="J37" s="33">
        <f t="shared" si="7"/>
        <v>-2596</v>
      </c>
      <c r="K37" s="33">
        <f t="shared" si="7"/>
        <v>-524</v>
      </c>
      <c r="L37" s="33">
        <f t="shared" si="7"/>
        <v>-57</v>
      </c>
      <c r="M37" s="33">
        <f t="shared" si="7"/>
        <v>-7</v>
      </c>
      <c r="N37" s="34">
        <f t="shared" si="7"/>
        <v>-1.2374</v>
      </c>
    </row>
    <row r="38">
      <c r="B38" s="35" t="s">
        <v>12</v>
      </c>
      <c r="C38" s="36" t="s">
        <v>12</v>
      </c>
      <c r="D38" s="36" t="s">
        <v>10</v>
      </c>
      <c r="E38" s="36" t="b">
        <v>1</v>
      </c>
      <c r="F38" s="37">
        <f t="shared" ref="F38:N38" si="8">G5-G16</f>
        <v>0</v>
      </c>
      <c r="G38" s="37">
        <f t="shared" si="8"/>
        <v>367</v>
      </c>
      <c r="H38" s="37">
        <f t="shared" si="8"/>
        <v>3149</v>
      </c>
      <c r="I38" s="37">
        <f t="shared" si="8"/>
        <v>3737</v>
      </c>
      <c r="J38" s="37">
        <f t="shared" si="8"/>
        <v>-116</v>
      </c>
      <c r="K38" s="37">
        <f t="shared" si="8"/>
        <v>-5704</v>
      </c>
      <c r="L38" s="37">
        <f t="shared" si="8"/>
        <v>-1346</v>
      </c>
      <c r="M38" s="37">
        <f t="shared" si="8"/>
        <v>-87</v>
      </c>
      <c r="N38" s="38">
        <f t="shared" si="8"/>
        <v>-1.9793</v>
      </c>
    </row>
    <row r="39">
      <c r="B39" s="35" t="s">
        <v>9</v>
      </c>
      <c r="C39" s="36" t="s">
        <v>12</v>
      </c>
      <c r="D39" s="36" t="s">
        <v>10</v>
      </c>
      <c r="E39" s="36" t="b">
        <v>1</v>
      </c>
      <c r="F39" s="37">
        <f t="shared" ref="F39:N39" si="9">G6-G17</f>
        <v>0</v>
      </c>
      <c r="G39" s="37">
        <f t="shared" si="9"/>
        <v>511</v>
      </c>
      <c r="H39" s="37">
        <f t="shared" si="9"/>
        <v>3440</v>
      </c>
      <c r="I39" s="37">
        <f t="shared" si="9"/>
        <v>3635</v>
      </c>
      <c r="J39" s="37">
        <f t="shared" si="9"/>
        <v>-514</v>
      </c>
      <c r="K39" s="37">
        <f t="shared" si="9"/>
        <v>-5676</v>
      </c>
      <c r="L39" s="37">
        <f t="shared" si="9"/>
        <v>-1308</v>
      </c>
      <c r="M39" s="37">
        <f t="shared" si="9"/>
        <v>-88</v>
      </c>
      <c r="N39" s="38">
        <f t="shared" si="9"/>
        <v>-2.0604</v>
      </c>
    </row>
    <row r="40">
      <c r="B40" s="39" t="s">
        <v>9</v>
      </c>
      <c r="C40" s="40" t="s">
        <v>9</v>
      </c>
      <c r="D40" s="40" t="s">
        <v>10</v>
      </c>
      <c r="E40" s="40" t="b">
        <v>0</v>
      </c>
      <c r="F40" s="33">
        <f t="shared" ref="F40:N40" si="10">G7-G18</f>
        <v>27</v>
      </c>
      <c r="G40" s="33">
        <f t="shared" si="10"/>
        <v>1050</v>
      </c>
      <c r="H40" s="33">
        <f t="shared" si="10"/>
        <v>3023</v>
      </c>
      <c r="I40" s="33">
        <f t="shared" si="10"/>
        <v>-1923</v>
      </c>
      <c r="J40" s="33">
        <f t="shared" si="10"/>
        <v>-1836</v>
      </c>
      <c r="K40" s="33">
        <f t="shared" si="10"/>
        <v>-335</v>
      </c>
      <c r="L40" s="33">
        <f t="shared" si="10"/>
        <v>-9</v>
      </c>
      <c r="M40" s="33">
        <f t="shared" si="10"/>
        <v>3</v>
      </c>
      <c r="N40" s="34">
        <f t="shared" si="10"/>
        <v>-0.7725</v>
      </c>
    </row>
    <row r="41">
      <c r="B41" s="35" t="s">
        <v>12</v>
      </c>
      <c r="C41" s="36" t="s">
        <v>12</v>
      </c>
      <c r="D41" s="36" t="s">
        <v>10</v>
      </c>
      <c r="E41" s="36" t="b">
        <v>0</v>
      </c>
      <c r="F41" s="37">
        <f t="shared" ref="F41:N41" si="11">G8-G19</f>
        <v>7</v>
      </c>
      <c r="G41" s="37">
        <f t="shared" si="11"/>
        <v>283</v>
      </c>
      <c r="H41" s="37">
        <f t="shared" si="11"/>
        <v>1815</v>
      </c>
      <c r="I41" s="37">
        <f t="shared" si="11"/>
        <v>3456</v>
      </c>
      <c r="J41" s="37">
        <f t="shared" si="11"/>
        <v>512</v>
      </c>
      <c r="K41" s="37">
        <f t="shared" si="11"/>
        <v>-4859</v>
      </c>
      <c r="L41" s="37">
        <f t="shared" si="11"/>
        <v>-1164</v>
      </c>
      <c r="M41" s="37">
        <f t="shared" si="11"/>
        <v>-50</v>
      </c>
      <c r="N41" s="38">
        <f t="shared" si="11"/>
        <v>-1.53</v>
      </c>
    </row>
    <row r="42">
      <c r="B42" s="35" t="s">
        <v>9</v>
      </c>
      <c r="C42" s="36" t="s">
        <v>12</v>
      </c>
      <c r="D42" s="36" t="s">
        <v>10</v>
      </c>
      <c r="E42" s="36" t="b">
        <v>0</v>
      </c>
      <c r="F42" s="37">
        <f t="shared" ref="F42:N42" si="12">G9-G20</f>
        <v>0</v>
      </c>
      <c r="G42" s="37">
        <f t="shared" si="12"/>
        <v>109</v>
      </c>
      <c r="H42" s="37">
        <f t="shared" si="12"/>
        <v>1333</v>
      </c>
      <c r="I42" s="37">
        <f t="shared" si="12"/>
        <v>3476</v>
      </c>
      <c r="J42" s="37">
        <f t="shared" si="12"/>
        <v>918</v>
      </c>
      <c r="K42" s="37">
        <f t="shared" si="12"/>
        <v>-4718</v>
      </c>
      <c r="L42" s="37">
        <f t="shared" si="12"/>
        <v>-1067</v>
      </c>
      <c r="M42" s="37">
        <f t="shared" si="12"/>
        <v>-51</v>
      </c>
      <c r="N42" s="38">
        <f t="shared" si="12"/>
        <v>-1.3474</v>
      </c>
    </row>
    <row r="43">
      <c r="B43" s="39" t="s">
        <v>9</v>
      </c>
      <c r="C43" s="40" t="s">
        <v>9</v>
      </c>
      <c r="D43" s="40" t="s">
        <v>13</v>
      </c>
      <c r="E43" s="40" t="b">
        <v>0</v>
      </c>
      <c r="F43" s="33">
        <f t="shared" ref="F43:N43" si="13">G10-G21</f>
        <v>626</v>
      </c>
      <c r="G43" s="33">
        <f t="shared" si="13"/>
        <v>3829</v>
      </c>
      <c r="H43" s="33">
        <f t="shared" si="13"/>
        <v>490</v>
      </c>
      <c r="I43" s="33">
        <f t="shared" si="13"/>
        <v>-2578</v>
      </c>
      <c r="J43" s="33">
        <f t="shared" si="13"/>
        <v>-1809</v>
      </c>
      <c r="K43" s="33">
        <f t="shared" si="13"/>
        <v>-486</v>
      </c>
      <c r="L43" s="33">
        <f t="shared" si="13"/>
        <v>-71</v>
      </c>
      <c r="M43" s="33">
        <f t="shared" si="13"/>
        <v>-1</v>
      </c>
      <c r="N43" s="34">
        <f t="shared" si="13"/>
        <v>-1.3024</v>
      </c>
    </row>
    <row r="44">
      <c r="B44" s="35" t="s">
        <v>12</v>
      </c>
      <c r="C44" s="36" t="s">
        <v>12</v>
      </c>
      <c r="D44" s="36" t="s">
        <v>13</v>
      </c>
      <c r="E44" s="36" t="b">
        <v>0</v>
      </c>
      <c r="F44" s="37">
        <f t="shared" ref="F44:N44" si="14">G11-G22</f>
        <v>46</v>
      </c>
      <c r="G44" s="37">
        <f t="shared" si="14"/>
        <v>1838</v>
      </c>
      <c r="H44" s="37">
        <f t="shared" si="14"/>
        <v>3670</v>
      </c>
      <c r="I44" s="37">
        <f t="shared" si="14"/>
        <v>928</v>
      </c>
      <c r="J44" s="37">
        <f t="shared" si="14"/>
        <v>-2938</v>
      </c>
      <c r="K44" s="37">
        <f t="shared" si="14"/>
        <v>-2695</v>
      </c>
      <c r="L44" s="37">
        <f t="shared" si="14"/>
        <v>-775</v>
      </c>
      <c r="M44" s="37">
        <f t="shared" si="14"/>
        <v>-74</v>
      </c>
      <c r="N44" s="38">
        <f t="shared" si="14"/>
        <v>-1.8433</v>
      </c>
    </row>
    <row r="45">
      <c r="B45" s="41" t="s">
        <v>9</v>
      </c>
      <c r="C45" s="42" t="s">
        <v>12</v>
      </c>
      <c r="D45" s="42" t="s">
        <v>13</v>
      </c>
      <c r="E45" s="42" t="b">
        <v>0</v>
      </c>
      <c r="F45" s="43">
        <f t="shared" ref="F45:N45" si="15">G12-G23</f>
        <v>150</v>
      </c>
      <c r="G45" s="43">
        <f t="shared" si="15"/>
        <v>2944</v>
      </c>
      <c r="H45" s="43">
        <f t="shared" si="15"/>
        <v>3688</v>
      </c>
      <c r="I45" s="43">
        <f t="shared" si="15"/>
        <v>174</v>
      </c>
      <c r="J45" s="43">
        <f t="shared" si="15"/>
        <v>-3315</v>
      </c>
      <c r="K45" s="43">
        <f t="shared" si="15"/>
        <v>-2785</v>
      </c>
      <c r="L45" s="43">
        <f t="shared" si="15"/>
        <v>-774</v>
      </c>
      <c r="M45" s="43">
        <f t="shared" si="15"/>
        <v>-82</v>
      </c>
      <c r="N45" s="44">
        <f t="shared" si="15"/>
        <v>-2.1561</v>
      </c>
    </row>
  </sheetData>
  <mergeCells count="2">
    <mergeCell ref="B25:E25"/>
    <mergeCell ref="B35:N3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1"/>
      <c r="C2" s="1"/>
      <c r="D2" s="1"/>
      <c r="E2" s="3" t="s">
        <v>2</v>
      </c>
      <c r="F2" s="4" t="s">
        <v>4</v>
      </c>
      <c r="G2" s="4">
        <v>1.0</v>
      </c>
      <c r="H2" s="4">
        <v>2.0</v>
      </c>
      <c r="I2" s="4">
        <v>3.0</v>
      </c>
      <c r="J2" s="4">
        <v>4.0</v>
      </c>
      <c r="K2" s="4">
        <v>5.0</v>
      </c>
      <c r="L2" s="4">
        <v>6.0</v>
      </c>
      <c r="M2" s="4">
        <v>7.0</v>
      </c>
      <c r="N2" s="4">
        <v>8.0</v>
      </c>
      <c r="O2" s="4" t="s">
        <v>5</v>
      </c>
      <c r="P2" s="5" t="s">
        <v>6</v>
      </c>
      <c r="Q2" s="4" t="s">
        <v>7</v>
      </c>
      <c r="R2" s="6" t="s">
        <v>8</v>
      </c>
    </row>
    <row r="3">
      <c r="A3" s="1"/>
      <c r="B3" s="1"/>
      <c r="C3" s="1"/>
      <c r="D3" s="1"/>
      <c r="E3" s="7"/>
      <c r="F3" s="8"/>
      <c r="G3" s="8"/>
      <c r="H3" s="8"/>
      <c r="I3" s="8"/>
      <c r="J3" s="8"/>
      <c r="K3" s="8"/>
      <c r="L3" s="8"/>
      <c r="M3" s="8"/>
      <c r="N3" s="8"/>
      <c r="O3" s="9"/>
      <c r="P3" s="9"/>
      <c r="Q3" s="9"/>
      <c r="R3" s="10"/>
    </row>
    <row r="4">
      <c r="A4" s="1"/>
      <c r="B4" s="1"/>
      <c r="C4" s="1"/>
      <c r="D4" s="1"/>
      <c r="E4" s="15" t="s">
        <v>10</v>
      </c>
      <c r="F4" s="16" t="s">
        <v>11</v>
      </c>
      <c r="G4" s="16">
        <v>0.0</v>
      </c>
      <c r="H4" s="16">
        <v>367.0</v>
      </c>
      <c r="I4" s="16">
        <v>3149.0</v>
      </c>
      <c r="J4" s="16">
        <v>3739.0</v>
      </c>
      <c r="K4" s="16">
        <v>2034.0</v>
      </c>
      <c r="L4" s="16">
        <v>595.0</v>
      </c>
      <c r="M4" s="16">
        <v>109.0</v>
      </c>
      <c r="N4" s="16">
        <v>7.0</v>
      </c>
      <c r="O4" s="17">
        <f>IFERROR(__xludf.DUMMYFUNCTION("AVERAGE.WEIGHTED($G$2:$N$2,G4:N4)"),3.9696)</f>
        <v>3.9696</v>
      </c>
      <c r="P4" s="17">
        <f t="shared" ref="P4:P6" si="1">SQRT(SUMPRODUCT(G4:N4,({1,2,3,4,5,6,7,8}-O4)^2)/SUM(G4:N4))</f>
        <v>1.005721552</v>
      </c>
      <c r="Q4" s="18">
        <f t="shared" ref="Q4:Q6" si="2">SUMPRODUCT(G4:N4,({1,2,3,4,5,6,7,8}-O4)^3)/SUM(G4:N4)/P4^3</f>
        <v>0.4937510414</v>
      </c>
      <c r="R4" s="19">
        <f t="shared" ref="R4:R6" si="3">SUMPRODUCT(G4:N4,({1,2,3,4,5,6,7,8}-O4)^4)/SUM(G4:N4)/P4^4-3</f>
        <v>0.103429528</v>
      </c>
    </row>
    <row r="5">
      <c r="A5" s="1"/>
      <c r="B5" s="1"/>
      <c r="C5" s="1"/>
      <c r="D5" s="1"/>
      <c r="E5" s="15" t="s">
        <v>16</v>
      </c>
      <c r="F5" s="16" t="s">
        <v>11</v>
      </c>
      <c r="G5" s="16">
        <v>7.0</v>
      </c>
      <c r="H5" s="16">
        <v>283.0</v>
      </c>
      <c r="I5" s="16">
        <v>1815.0</v>
      </c>
      <c r="J5" s="16">
        <v>3456.0</v>
      </c>
      <c r="K5" s="16">
        <v>2848.0</v>
      </c>
      <c r="L5" s="16">
        <v>1303.0</v>
      </c>
      <c r="M5" s="16">
        <v>261.0</v>
      </c>
      <c r="N5" s="16">
        <v>27.0</v>
      </c>
      <c r="O5" s="17">
        <f>IFERROR(__xludf.DUMMYFUNCTION("AVERAGE.WEIGHTED($G$2:$N$2,G5:N5)"),4.3943)</f>
        <v>4.3943</v>
      </c>
      <c r="P5" s="17">
        <f t="shared" si="1"/>
        <v>1.108885706</v>
      </c>
      <c r="Q5" s="18">
        <f t="shared" si="2"/>
        <v>0.1922021777</v>
      </c>
      <c r="R5" s="19">
        <f t="shared" si="3"/>
        <v>-0.1683885289</v>
      </c>
    </row>
    <row r="6">
      <c r="A6" s="1"/>
      <c r="B6" s="1"/>
      <c r="C6" s="1"/>
      <c r="D6" s="1"/>
      <c r="E6" s="15" t="s">
        <v>13</v>
      </c>
      <c r="F6" s="16" t="s">
        <v>11</v>
      </c>
      <c r="G6" s="16">
        <v>46.0</v>
      </c>
      <c r="H6" s="16">
        <v>1844.0</v>
      </c>
      <c r="I6" s="16">
        <v>3915.0</v>
      </c>
      <c r="J6" s="16">
        <v>2846.0</v>
      </c>
      <c r="K6" s="16">
        <v>1050.0</v>
      </c>
      <c r="L6" s="16">
        <v>258.0</v>
      </c>
      <c r="M6" s="16">
        <v>36.0</v>
      </c>
      <c r="N6" s="16">
        <v>5.0</v>
      </c>
      <c r="O6" s="17">
        <f>IFERROR(__xludf.DUMMYFUNCTION("AVERAGE.WEIGHTED($G$2:$N$2,G6:N6)"),3.3953)</f>
        <v>3.3953</v>
      </c>
      <c r="P6" s="17">
        <f t="shared" si="1"/>
        <v>1.026371234</v>
      </c>
      <c r="Q6" s="18">
        <f t="shared" si="2"/>
        <v>0.5381499203</v>
      </c>
      <c r="R6" s="19">
        <f t="shared" si="3"/>
        <v>0.2569812847</v>
      </c>
    </row>
    <row r="7">
      <c r="A7" s="1"/>
      <c r="B7" s="1"/>
      <c r="C7" s="1"/>
      <c r="D7" s="1"/>
      <c r="E7" s="11"/>
      <c r="F7" s="12"/>
      <c r="G7" s="12"/>
      <c r="H7" s="12"/>
      <c r="I7" s="12"/>
      <c r="J7" s="12"/>
      <c r="K7" s="12"/>
      <c r="L7" s="12"/>
      <c r="M7" s="12"/>
      <c r="N7" s="12"/>
      <c r="O7" s="13"/>
      <c r="P7" s="13"/>
      <c r="Q7" s="13"/>
      <c r="R7" s="14"/>
    </row>
    <row r="8">
      <c r="A8" s="1"/>
      <c r="B8" s="1"/>
      <c r="C8" s="1"/>
      <c r="D8" s="1"/>
      <c r="E8" s="15" t="s">
        <v>10</v>
      </c>
      <c r="F8" s="16" t="s">
        <v>14</v>
      </c>
      <c r="G8" s="16">
        <v>0.0</v>
      </c>
      <c r="H8" s="16">
        <v>0.0</v>
      </c>
      <c r="I8" s="16">
        <v>0.0</v>
      </c>
      <c r="J8" s="16">
        <v>2.0</v>
      </c>
      <c r="K8" s="16">
        <v>2150.0</v>
      </c>
      <c r="L8" s="16">
        <v>6299.0</v>
      </c>
      <c r="M8" s="16">
        <v>1455.0</v>
      </c>
      <c r="N8" s="16">
        <v>94.0</v>
      </c>
      <c r="O8" s="17">
        <f>IFERROR(__xludf.DUMMYFUNCTION("AVERAGE.WEIGHTED($G$2:$N$2,G8:N8)"),5.9489)</f>
        <v>5.9489</v>
      </c>
      <c r="P8" s="17">
        <f t="shared" ref="P8:P10" si="4">SQRT(SUMPRODUCT(G8:N8,({1,2,3,4,5,6,7,8}-O8)^2)/SUM(G8:N8))</f>
        <v>0.6295147258</v>
      </c>
      <c r="Q8" s="18">
        <f t="shared" ref="Q8:Q10" si="5">SUMPRODUCT(G8:N8,({1,2,3,4,5,6,7,8}-O8)^3)/SUM(G8:N8)/P8^3</f>
        <v>0.2604906441</v>
      </c>
      <c r="R8" s="19">
        <f t="shared" ref="R8:R10" si="6">SUMPRODUCT(G8:N8,({1,2,3,4,5,6,7,8}-O8)^4)/SUM(G8:N8)/P8^4-3</f>
        <v>0.3185895866</v>
      </c>
    </row>
    <row r="9">
      <c r="A9" s="1"/>
      <c r="B9" s="1"/>
      <c r="C9" s="1"/>
      <c r="D9" s="1"/>
      <c r="E9" s="15" t="s">
        <v>16</v>
      </c>
      <c r="F9" s="16" t="s">
        <v>14</v>
      </c>
      <c r="G9" s="16">
        <v>0.0</v>
      </c>
      <c r="H9" s="16">
        <v>0.0</v>
      </c>
      <c r="I9" s="16">
        <v>0.0</v>
      </c>
      <c r="J9" s="16">
        <v>0.0</v>
      </c>
      <c r="K9" s="16">
        <v>2336.0</v>
      </c>
      <c r="L9" s="16">
        <v>6162.0</v>
      </c>
      <c r="M9" s="16">
        <v>1425.0</v>
      </c>
      <c r="N9" s="16">
        <v>77.0</v>
      </c>
      <c r="O9" s="17">
        <f>IFERROR(__xludf.DUMMYFUNCTION("AVERAGE.WEIGHTED($G$2:$N$2,G9:N9)"),5.9243)</f>
        <v>5.9243</v>
      </c>
      <c r="P9" s="17">
        <f t="shared" si="4"/>
        <v>0.633379436</v>
      </c>
      <c r="Q9" s="18">
        <f t="shared" si="5"/>
        <v>0.2441606479</v>
      </c>
      <c r="R9" s="19">
        <f t="shared" si="6"/>
        <v>0.1332718934</v>
      </c>
    </row>
    <row r="10">
      <c r="A10" s="1"/>
      <c r="B10" s="1"/>
      <c r="C10" s="1"/>
      <c r="D10" s="1"/>
      <c r="E10" s="20" t="s">
        <v>13</v>
      </c>
      <c r="F10" s="21" t="s">
        <v>14</v>
      </c>
      <c r="G10" s="21">
        <v>0.0</v>
      </c>
      <c r="H10" s="21">
        <v>6.0</v>
      </c>
      <c r="I10" s="21">
        <v>245.0</v>
      </c>
      <c r="J10" s="21">
        <v>1918.0</v>
      </c>
      <c r="K10" s="21">
        <v>3988.0</v>
      </c>
      <c r="L10" s="21">
        <v>2953.0</v>
      </c>
      <c r="M10" s="21">
        <v>811.0</v>
      </c>
      <c r="N10" s="21">
        <v>79.0</v>
      </c>
      <c r="O10" s="22">
        <f>IFERROR(__xludf.DUMMYFUNCTION("AVERAGE.WEIGHTED($G$2:$N$2,G10:N10)"),5.2386)</f>
        <v>5.2386</v>
      </c>
      <c r="P10" s="22">
        <f t="shared" si="4"/>
        <v>0.9638827937</v>
      </c>
      <c r="Q10" s="23">
        <f t="shared" si="5"/>
        <v>0.08351418812</v>
      </c>
      <c r="R10" s="24">
        <f t="shared" si="6"/>
        <v>-0.1347169641</v>
      </c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5"/>
      <c r="P11" s="25"/>
      <c r="Q11" s="25"/>
      <c r="R11" s="25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5"/>
      <c r="P12" s="25"/>
      <c r="Q12" s="25"/>
      <c r="R12" s="25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5"/>
      <c r="P13" s="25"/>
      <c r="Q13" s="25"/>
      <c r="R13" s="25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5"/>
      <c r="P14" s="25"/>
      <c r="Q14" s="25"/>
      <c r="R14" s="25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5"/>
      <c r="P15" s="25"/>
      <c r="Q15" s="25"/>
      <c r="R15" s="25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5"/>
      <c r="P16" s="25"/>
      <c r="Q16" s="25"/>
      <c r="R16" s="25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5"/>
      <c r="P17" s="25"/>
      <c r="Q17" s="25"/>
      <c r="R17" s="25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5"/>
      <c r="P18" s="25"/>
      <c r="Q18" s="25"/>
      <c r="R18" s="25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5"/>
      <c r="P19" s="25"/>
      <c r="Q19" s="25"/>
      <c r="R19" s="25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5"/>
      <c r="P20" s="25"/>
      <c r="Q20" s="25"/>
      <c r="R20" s="25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5"/>
      <c r="P21" s="25"/>
      <c r="Q21" s="25"/>
      <c r="R21" s="25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5"/>
      <c r="P22" s="25"/>
      <c r="Q22" s="25"/>
      <c r="R22" s="25"/>
    </row>
    <row r="2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5"/>
      <c r="P23" s="25"/>
      <c r="Q23" s="45"/>
      <c r="R23" s="45"/>
    </row>
  </sheetData>
  <drawing r:id="rId1"/>
</worksheet>
</file>